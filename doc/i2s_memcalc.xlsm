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F5" authorId="0">
      <text>
        <r>
          <rPr>
            <sz val="11"/>
            <color rgb="FF000000"/>
            <rFont val="Arial"/>
            <family val="0"/>
            <charset val="204"/>
          </rPr>
          <t xml:space="preserve">Author:
</t>
        </r>
        <r>
          <rPr>
            <sz val="9"/>
            <color rgb="FF000000"/>
            <rFont val="Tahoma"/>
            <family val="0"/>
            <charset val="1"/>
          </rPr>
          <t xml:space="preserve">Not allocated by lib actually, just for the reference</t>
        </r>
      </text>
    </comment>
    <comment ref="F6" authorId="0">
      <text>
        <r>
          <rPr>
            <sz val="11"/>
            <color rgb="FF000000"/>
            <rFont val="Arial"/>
            <family val="0"/>
            <charset val="204"/>
          </rPr>
          <t xml:space="preserve">Author:
</t>
        </r>
        <r>
          <rPr>
            <sz val="9"/>
            <color rgb="FF000000"/>
            <rFont val="Tahoma"/>
            <family val="0"/>
            <charset val="1"/>
          </rPr>
          <t xml:space="preserve">This does not includes DMA LL descriptors </t>
        </r>
      </text>
    </comment>
  </commentList>
</comments>
</file>

<file path=xl/sharedStrings.xml><?xml version="1.0" encoding="utf-8"?>
<sst xmlns="http://schemas.openxmlformats.org/spreadsheetml/2006/main" count="40" uniqueCount="36">
  <si>
    <t xml:space="preserve">ESP32 HUB75 I2S Calculator</t>
  </si>
  <si>
    <t xml:space="preserve">Pls, enable macro's to calculate RefreshRate and Optimal color depth</t>
  </si>
  <si>
    <t xml:space="preserve">Input</t>
  </si>
  <si>
    <t xml:space="preserve">Output</t>
  </si>
  <si>
    <t xml:space="preserve">variables</t>
  </si>
  <si>
    <t xml:space="preserve">Module Width</t>
  </si>
  <si>
    <t xml:space="preserve">px</t>
  </si>
  <si>
    <t xml:space="preserve">Total pixels</t>
  </si>
  <si>
    <t xml:space="preserve">pixels</t>
  </si>
  <si>
    <t xml:space="preserve">i2s_type</t>
  </si>
  <si>
    <t xml:space="preserve">bit</t>
  </si>
  <si>
    <t xml:space="preserve">Module Height</t>
  </si>
  <si>
    <t xml:space="preserve">RGB24 Buffer size</t>
  </si>
  <si>
    <t xml:space="preserve">bytes</t>
  </si>
  <si>
    <t xml:space="preserve">pix_per_row</t>
  </si>
  <si>
    <t xml:space="preserve">Chain length</t>
  </si>
  <si>
    <t xml:space="preserve">pcs</t>
  </si>
  <si>
    <t xml:space="preserve">DMA Buffer size</t>
  </si>
  <si>
    <t xml:space="preserve">rows</t>
  </si>
  <si>
    <t xml:space="preserve">Colordepth</t>
  </si>
  <si>
    <t xml:space="preserve">bits</t>
  </si>
  <si>
    <t xml:space="preserve">LSB2MSB bit</t>
  </si>
  <si>
    <t xml:space="preserve">psPerClock</t>
  </si>
  <si>
    <t xml:space="preserve">Min refresh rate</t>
  </si>
  <si>
    <t xml:space="preserve">Hz</t>
  </si>
  <si>
    <t xml:space="preserve">RefreshRate</t>
  </si>
  <si>
    <t xml:space="preserve">nsPerLatch</t>
  </si>
  <si>
    <t xml:space="preserve">Double buffer</t>
  </si>
  <si>
    <t xml:space="preserve">true/false</t>
  </si>
  <si>
    <t xml:space="preserve">Optimal colordepth</t>
  </si>
  <si>
    <t xml:space="preserve">nsPerRow</t>
  </si>
  <si>
    <t xml:space="preserve">I2S Clock speed</t>
  </si>
  <si>
    <t xml:space="preserve">MHz</t>
  </si>
  <si>
    <t xml:space="preserve">HUB75 Color data transfer rate</t>
  </si>
  <si>
    <t xml:space="preserve">Mbit/s</t>
  </si>
  <si>
    <t xml:space="preserve">created by Vortigont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</si>
</sst>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15">
    <font>
      <sz val="11"/>
      <color rgb="FF000000"/>
      <name val="Arial"/>
      <family val="0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FFFFFF"/>
      <name val="Arial"/>
      <family val="0"/>
      <charset val="204"/>
    </font>
    <font>
      <b val="true"/>
      <sz val="10"/>
      <color rgb="FF000000"/>
      <name val="Arial"/>
      <family val="0"/>
      <charset val="204"/>
    </font>
    <font>
      <b val="true"/>
      <sz val="10"/>
      <color rgb="FFFFFFFF"/>
      <name val="Arial"/>
      <family val="0"/>
      <charset val="204"/>
    </font>
    <font>
      <i val="true"/>
      <sz val="10"/>
      <color rgb="FF808080"/>
      <name val="Arial"/>
      <family val="0"/>
      <charset val="204"/>
    </font>
    <font>
      <b val="true"/>
      <sz val="24"/>
      <color rgb="FF000000"/>
      <name val="Arial"/>
      <family val="0"/>
      <charset val="204"/>
    </font>
    <font>
      <u val="single"/>
      <sz val="10"/>
      <color rgb="FF0000EE"/>
      <name val="Arial"/>
      <family val="0"/>
      <charset val="204"/>
    </font>
    <font>
      <sz val="10"/>
      <color rgb="FFCC0000"/>
      <name val="Arial"/>
      <family val="0"/>
      <charset val="204"/>
    </font>
    <font>
      <b val="true"/>
      <sz val="14"/>
      <color rgb="FF000000"/>
      <name val="Arial"/>
      <family val="0"/>
      <charset val="204"/>
    </font>
    <font>
      <b val="true"/>
      <sz val="11"/>
      <color rgb="FF000000"/>
      <name val="Arial"/>
      <family val="0"/>
      <charset val="204"/>
    </font>
    <font>
      <sz val="10"/>
      <color rgb="FF000000"/>
      <name val="Times New Roman"/>
      <family val="0"/>
      <charset val="204"/>
    </font>
    <font>
      <sz val="9"/>
      <color rgb="FF000000"/>
      <name val="Tahoma"/>
      <family val="0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DEEBF7"/>
      </patternFill>
    </fill>
    <fill>
      <patternFill patternType="solid">
        <fgColor rgb="FFCC0000"/>
        <bgColor rgb="FF800000"/>
      </patternFill>
    </fill>
    <fill>
      <patternFill patternType="solid">
        <fgColor rgb="FFFFFF00"/>
        <bgColor rgb="FFFFFF00"/>
      </patternFill>
    </fill>
    <fill>
      <patternFill patternType="solid">
        <fgColor rgb="FF00FF00"/>
        <bgColor rgb="FF33CCCC"/>
      </patternFill>
    </fill>
    <fill>
      <patternFill patternType="solid">
        <fgColor rgb="FFD0CECE"/>
        <bgColor rgb="FFDDDDDD"/>
      </patternFill>
    </fill>
    <fill>
      <patternFill patternType="solid">
        <fgColor rgb="FFDEEBF7"/>
        <bgColor rgb="FFDDDDDD"/>
      </patternFill>
    </fill>
    <fill>
      <patternFill patternType="solid">
        <fgColor rgb="FFCCFFFF"/>
        <bgColor rgb="FFCCFFCC"/>
      </patternFill>
    </fill>
  </fills>
  <borders count="1">
    <border diagonalUp="false" diagonalDown="false">
      <left/>
      <right/>
      <top/>
      <bottom/>
      <diagonal/>
    </border>
  </borders>
  <cellStyleXfs count="3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4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5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8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Accent 1 5" xfId="20"/>
    <cellStyle name="Accent 2 6" xfId="21"/>
    <cellStyle name="Accent 3 7" xfId="22"/>
    <cellStyle name="Accent 4" xfId="23"/>
    <cellStyle name="Error 8" xfId="24"/>
    <cellStyle name="Footnote 9" xfId="25"/>
    <cellStyle name="Heading (user) 10" xfId="26"/>
    <cellStyle name="Hyperlink 11" xfId="27"/>
    <cellStyle name="Status 12" xfId="28"/>
    <cellStyle name="Text 13" xfId="29"/>
    <cellStyle name="Warning 14" xfId="30"/>
  </cellStyles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EEBF7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2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5" activeCellId="0" sqref="G5"/>
    </sheetView>
  </sheetViews>
  <sheetFormatPr defaultColWidth="8.609375" defaultRowHeight="13.8" zeroHeight="false" outlineLevelRow="0" outlineLevelCol="0"/>
  <cols>
    <col collapsed="false" customWidth="true" hidden="false" outlineLevel="0" max="1" min="1" style="0" width="14.51"/>
    <col collapsed="false" customWidth="true" hidden="false" outlineLevel="0" max="2" min="2" style="0" width="6.2"/>
    <col collapsed="false" customWidth="true" hidden="false" outlineLevel="0" max="3" min="3" style="0" width="11.8"/>
    <col collapsed="false" customWidth="true" hidden="false" outlineLevel="0" max="4" min="4" style="0" width="4"/>
    <col collapsed="false" customWidth="true" hidden="false" outlineLevel="0" max="5" min="5" style="0" width="4.5"/>
    <col collapsed="false" customWidth="true" hidden="false" outlineLevel="0" max="6" min="6" style="0" width="28.1"/>
    <col collapsed="false" customWidth="true" hidden="false" outlineLevel="0" max="7" min="7" style="0" width="7.6"/>
    <col collapsed="false" customWidth="true" hidden="false" outlineLevel="0" max="13" min="8" style="0" width="10.7"/>
  </cols>
  <sheetData>
    <row r="1" customFormat="false" ht="17.4" hidden="false" customHeight="false" outlineLevel="0" collapsed="false">
      <c r="A1" s="1" t="s">
        <v>0</v>
      </c>
      <c r="F1" s="2" t="s">
        <v>1</v>
      </c>
    </row>
    <row r="3" customFormat="false" ht="13.8" hidden="false" customHeight="false" outlineLevel="0" collapsed="false">
      <c r="A3" s="3" t="s">
        <v>2</v>
      </c>
      <c r="F3" s="4" t="s">
        <v>3</v>
      </c>
      <c r="K3" s="5" t="s">
        <v>4</v>
      </c>
      <c r="L3" s="6"/>
      <c r="M3" s="6"/>
    </row>
    <row r="4" customFormat="false" ht="13.8" hidden="false" customHeight="false" outlineLevel="0" collapsed="false">
      <c r="A4" s="0" t="s">
        <v>5</v>
      </c>
      <c r="B4" s="0" t="n">
        <v>64</v>
      </c>
      <c r="C4" s="0" t="s">
        <v>6</v>
      </c>
      <c r="F4" s="0" t="s">
        <v>7</v>
      </c>
      <c r="G4" s="0" t="n">
        <f aca="false">B4*B5*B6</f>
        <v>4096</v>
      </c>
      <c r="H4" s="0" t="s">
        <v>8</v>
      </c>
      <c r="K4" s="6" t="s">
        <v>9</v>
      </c>
      <c r="L4" s="6" t="n">
        <v>16</v>
      </c>
      <c r="M4" s="6" t="s">
        <v>10</v>
      </c>
    </row>
    <row r="5" customFormat="false" ht="13.8" hidden="false" customHeight="false" outlineLevel="0" collapsed="false">
      <c r="A5" s="0" t="s">
        <v>11</v>
      </c>
      <c r="B5" s="0" t="n">
        <v>64</v>
      </c>
      <c r="C5" s="0" t="s">
        <v>6</v>
      </c>
      <c r="F5" s="0" t="s">
        <v>12</v>
      </c>
      <c r="G5" s="0" t="n">
        <f aca="false">G4*3</f>
        <v>12288</v>
      </c>
      <c r="H5" s="0" t="s">
        <v>13</v>
      </c>
      <c r="K5" s="6" t="s">
        <v>14</v>
      </c>
      <c r="L5" s="6" t="n">
        <f aca="false">B4*B6</f>
        <v>64</v>
      </c>
      <c r="M5" s="6"/>
    </row>
    <row r="6" customFormat="false" ht="13.8" hidden="false" customHeight="false" outlineLevel="0" collapsed="false">
      <c r="A6" s="0" t="s">
        <v>15</v>
      </c>
      <c r="B6" s="0" t="n">
        <v>1</v>
      </c>
      <c r="C6" s="0" t="s">
        <v>16</v>
      </c>
      <c r="F6" s="0" t="s">
        <v>17</v>
      </c>
      <c r="G6" s="0" t="n">
        <f aca="false">L4/8*L5*B7*L6*(B9+1)</f>
        <v>32768</v>
      </c>
      <c r="H6" s="0" t="s">
        <v>13</v>
      </c>
      <c r="K6" s="6" t="s">
        <v>18</v>
      </c>
      <c r="L6" s="6" t="n">
        <f aca="false">B5/2</f>
        <v>32</v>
      </c>
      <c r="M6" s="6"/>
    </row>
    <row r="7" customFormat="false" ht="13.8" hidden="false" customHeight="false" outlineLevel="0" collapsed="false">
      <c r="A7" s="0" t="s">
        <v>19</v>
      </c>
      <c r="B7" s="7" t="n">
        <v>8</v>
      </c>
      <c r="C7" s="0" t="s">
        <v>20</v>
      </c>
      <c r="F7" s="0" t="s">
        <v>21</v>
      </c>
      <c r="G7" s="0" t="n">
        <v>3</v>
      </c>
      <c r="H7" s="0" t="s">
        <v>10</v>
      </c>
      <c r="K7" s="8" t="s">
        <v>22</v>
      </c>
      <c r="L7" s="6" t="n">
        <f aca="false">1000000000000/B10/1000000</f>
        <v>100000</v>
      </c>
      <c r="M7" s="6"/>
    </row>
    <row r="8" customFormat="false" ht="13.8" hidden="false" customHeight="false" outlineLevel="0" collapsed="false">
      <c r="A8" s="0" t="s">
        <v>23</v>
      </c>
      <c r="B8" s="0" t="n">
        <v>100</v>
      </c>
      <c r="C8" s="0" t="s">
        <v>24</v>
      </c>
      <c r="F8" s="0" t="s">
        <v>25</v>
      </c>
      <c r="G8" s="0" t="n">
        <v>143.612132352941</v>
      </c>
      <c r="H8" s="0" t="s">
        <v>24</v>
      </c>
      <c r="K8" s="8" t="s">
        <v>26</v>
      </c>
      <c r="L8" s="6" t="n">
        <f aca="false">L5*L7/1000</f>
        <v>6400</v>
      </c>
      <c r="M8" s="6"/>
    </row>
    <row r="9" customFormat="false" ht="13.8" hidden="false" customHeight="false" outlineLevel="0" collapsed="false">
      <c r="A9" s="0" t="s">
        <v>27</v>
      </c>
      <c r="B9" s="0" t="n">
        <v>0</v>
      </c>
      <c r="C9" s="0" t="s">
        <v>28</v>
      </c>
      <c r="F9" s="0" t="s">
        <v>29</v>
      </c>
      <c r="G9" s="9" t="n">
        <f aca="false">B7-G7+1</f>
        <v>6</v>
      </c>
      <c r="K9" s="8" t="s">
        <v>30</v>
      </c>
      <c r="L9" s="6" t="n">
        <f aca="false">L8*B7</f>
        <v>51200</v>
      </c>
      <c r="M9" s="6"/>
    </row>
    <row r="10" customFormat="false" ht="13.8" hidden="false" customHeight="false" outlineLevel="0" collapsed="false">
      <c r="A10" s="0" t="s">
        <v>31</v>
      </c>
      <c r="B10" s="0" t="n">
        <v>10</v>
      </c>
      <c r="C10" s="0" t="s">
        <v>32</v>
      </c>
      <c r="F10" s="0" t="s">
        <v>33</v>
      </c>
      <c r="G10" s="0" t="n">
        <f aca="false">6*B10</f>
        <v>60</v>
      </c>
      <c r="H10" s="0" t="s">
        <v>34</v>
      </c>
    </row>
    <row r="27" customFormat="false" ht="13.8" hidden="false" customHeight="false" outlineLevel="0" collapsed="false">
      <c r="A27" s="0" t="s">
        <v>35</v>
      </c>
    </row>
  </sheetData>
  <printOptions headings="false" gridLines="false" gridLinesSet="true" horizontalCentered="false" verticalCentered="false"/>
  <pageMargins left="0" right="0" top="0.39375" bottom="0.393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2021-02-20T13:44:07Z</dcterms:created>
  <dc:creator/>
  <dc:description/>
  <dc:language>en-US</dc:language>
  <cp:lastModifiedBy>Emil  Muratov</cp:lastModifiedBy>
  <dcterms:modified xsi:type="dcterms:W3CDTF">2021-09-29T11:06:44Z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