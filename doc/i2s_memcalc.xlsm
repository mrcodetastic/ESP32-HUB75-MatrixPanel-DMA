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3040" windowHeight="9192"/>
  </bookViews>
  <sheets>
    <sheet name="Лист1" sheetId="1" r:id="rId1"/>
  </sheets>
  <calcPr calcId="162913"/>
</workbook>
</file>

<file path=xl/calcChain.xml><?xml version="1.0" encoding="utf-8"?>
<calcChain xmlns="http://schemas.openxmlformats.org/spreadsheetml/2006/main">
  <c r="G9" i="1" l="1"/>
  <c r="G10" i="1" l="1"/>
  <c r="L7" i="1" l="1"/>
  <c r="L6" i="1"/>
  <c r="L5" i="1"/>
  <c r="G6" i="1" s="1"/>
  <c r="G4" i="1"/>
  <c r="G5" i="1" s="1"/>
  <c r="L8" i="1" l="1"/>
  <c r="L9" i="1" s="1"/>
</calcChain>
</file>

<file path=xl/comments1.xml><?xml version="1.0" encoding="utf-8"?>
<comments xmlns="http://schemas.openxmlformats.org/spreadsheetml/2006/main">
  <authors>
    <author>Author</author>
  </authors>
  <commentList>
    <comment ref="F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Not allocated by lib actually, just for the reference</t>
        </r>
      </text>
    </comment>
    <comment ref="F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This does not includes DMA LL descriptors </t>
        </r>
      </text>
    </comment>
  </commentList>
</comments>
</file>

<file path=xl/sharedStrings.xml><?xml version="1.0" encoding="utf-8"?>
<sst xmlns="http://schemas.openxmlformats.org/spreadsheetml/2006/main" count="40" uniqueCount="36">
  <si>
    <t>ESP32 HUB75 I2S Calculator</t>
  </si>
  <si>
    <t>Input</t>
  </si>
  <si>
    <t>Output</t>
  </si>
  <si>
    <t>variables</t>
  </si>
  <si>
    <t>Module Width</t>
  </si>
  <si>
    <t>px</t>
  </si>
  <si>
    <t>Total pixels</t>
  </si>
  <si>
    <t>pixels</t>
  </si>
  <si>
    <t>i2s_type</t>
  </si>
  <si>
    <t>bit</t>
  </si>
  <si>
    <t>Module Height</t>
  </si>
  <si>
    <t>RGB24 Buffer size</t>
  </si>
  <si>
    <t>bytes</t>
  </si>
  <si>
    <t>pix_per_row</t>
  </si>
  <si>
    <t>Chain length</t>
  </si>
  <si>
    <t>pcs</t>
  </si>
  <si>
    <t>DMA Buffer size</t>
  </si>
  <si>
    <t>rows</t>
  </si>
  <si>
    <t>Colordepth</t>
  </si>
  <si>
    <t>bits</t>
  </si>
  <si>
    <t>LSB2MSB bit</t>
  </si>
  <si>
    <t>psPerClock</t>
  </si>
  <si>
    <t>Min refresh rate</t>
  </si>
  <si>
    <t>Hz</t>
  </si>
  <si>
    <t>RefreshRate</t>
  </si>
  <si>
    <t>nsPerLatch</t>
  </si>
  <si>
    <t>Double buffer</t>
  </si>
  <si>
    <t>true/false</t>
  </si>
  <si>
    <t>Optimal colordepth</t>
  </si>
  <si>
    <t>nsPerRow</t>
  </si>
  <si>
    <t>I2S Clock speed</t>
  </si>
  <si>
    <t>MHz</t>
  </si>
  <si>
    <t>Pls, enable macro's to calculate RefreshRate and Optimal color depth</t>
  </si>
  <si>
    <t>created by Vortigont</t>
  </si>
  <si>
    <t>Mbit/s</t>
  </si>
  <si>
    <t>HUB75 Color data transfer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</si>
</sst>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Liberation Sans"/>
      <charset val="204"/>
    </font>
    <font>
      <sz val="11"/>
      <color theme="1"/>
      <name val="Liberation Sans"/>
      <charset val="204"/>
    </font>
    <font>
      <b/>
      <sz val="10"/>
      <color rgb="FF000000"/>
      <name val="Liberation Sans"/>
      <charset val="204"/>
    </font>
    <font>
      <sz val="10"/>
      <color rgb="FFFFFFFF"/>
      <name val="Liberation Sans"/>
      <charset val="204"/>
    </font>
    <font>
      <sz val="10"/>
      <color rgb="FFCC0000"/>
      <name val="Liberation Sans"/>
      <charset val="204"/>
    </font>
    <font>
      <b/>
      <sz val="10"/>
      <color rgb="FFFFFFFF"/>
      <name val="Liberation Sans"/>
      <charset val="204"/>
    </font>
    <font>
      <i/>
      <sz val="10"/>
      <color rgb="FF808080"/>
      <name val="Liberation Sans"/>
      <charset val="204"/>
    </font>
    <font>
      <sz val="10"/>
      <color rgb="FF006600"/>
      <name val="Liberation Sans"/>
      <charset val="204"/>
    </font>
    <font>
      <b/>
      <sz val="24"/>
      <color rgb="FF000000"/>
      <name val="Liberation Sans"/>
      <charset val="204"/>
    </font>
    <font>
      <sz val="18"/>
      <color rgb="FF000000"/>
      <name val="Liberation Sans"/>
      <charset val="204"/>
    </font>
    <font>
      <sz val="12"/>
      <color rgb="FF000000"/>
      <name val="Liberation Sans"/>
      <charset val="204"/>
    </font>
    <font>
      <u/>
      <sz val="10"/>
      <color rgb="FF0000EE"/>
      <name val="Liberation Sans"/>
      <charset val="204"/>
    </font>
    <font>
      <sz val="10"/>
      <color rgb="FF996600"/>
      <name val="Liberation Sans"/>
      <charset val="204"/>
    </font>
    <font>
      <sz val="10"/>
      <color rgb="FF333333"/>
      <name val="Liberation Sans"/>
      <charset val="204"/>
    </font>
    <font>
      <b/>
      <sz val="11"/>
      <color theme="1"/>
      <name val="Liberation Sans"/>
      <charset val="204"/>
    </font>
    <font>
      <sz val="10"/>
      <color theme="1"/>
      <name val="Liberation Serif"/>
      <charset val="204"/>
    </font>
    <font>
      <b/>
      <sz val="14"/>
      <color theme="1"/>
      <name val="Liberation Sans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FF00"/>
        <bgColor rgb="FF00FF00"/>
      </patternFill>
    </fill>
    <fill>
      <patternFill patternType="solid">
        <fgColor rgb="FFCCFFFF"/>
        <bgColor rgb="FFCC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B3B3B3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9" fillId="0" borderId="0"/>
    <xf numFmtId="0" fontId="10" fillId="0" borderId="0"/>
    <xf numFmtId="0" fontId="7" fillId="7" borderId="0"/>
    <xf numFmtId="0" fontId="4" fillId="5" borderId="0"/>
    <xf numFmtId="0" fontId="12" fillId="8" borderId="0"/>
    <xf numFmtId="0" fontId="13" fillId="8" borderId="1"/>
    <xf numFmtId="0" fontId="2" fillId="0" borderId="0"/>
    <xf numFmtId="0" fontId="3" fillId="2" borderId="0"/>
    <xf numFmtId="0" fontId="3" fillId="3" borderId="0"/>
    <xf numFmtId="0" fontId="2" fillId="4" borderId="0"/>
    <xf numFmtId="0" fontId="5" fillId="6" borderId="0"/>
    <xf numFmtId="0" fontId="6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4" fillId="0" borderId="0"/>
  </cellStyleXfs>
  <cellXfs count="11">
    <xf numFmtId="0" fontId="0" fillId="0" borderId="0" xfId="0"/>
    <xf numFmtId="0" fontId="14" fillId="9" borderId="0" xfId="0" applyFont="1" applyFill="1"/>
    <xf numFmtId="0" fontId="14" fillId="10" borderId="0" xfId="0" applyFont="1" applyFill="1"/>
    <xf numFmtId="0" fontId="0" fillId="11" borderId="0" xfId="0" applyFill="1"/>
    <xf numFmtId="0" fontId="16" fillId="0" borderId="0" xfId="0" applyFont="1"/>
    <xf numFmtId="0" fontId="0" fillId="12" borderId="0" xfId="0" applyFill="1"/>
    <xf numFmtId="0" fontId="14" fillId="0" borderId="0" xfId="0" applyFont="1" applyFill="1"/>
    <xf numFmtId="0" fontId="15" fillId="13" borderId="0" xfId="0" applyFont="1" applyFill="1" applyAlignment="1">
      <alignment wrapText="1"/>
    </xf>
    <xf numFmtId="0" fontId="0" fillId="13" borderId="0" xfId="0" applyFill="1"/>
    <xf numFmtId="0" fontId="14" fillId="14" borderId="0" xfId="0" applyFont="1" applyFill="1"/>
    <xf numFmtId="0" fontId="0" fillId="14" borderId="0" xfId="0" applyFill="1"/>
  </cellXfs>
  <cellStyles count="18">
    <cellStyle name="Accent" xfId="7"/>
    <cellStyle name="Accent 1" xfId="8"/>
    <cellStyle name="Accent 2" xfId="9"/>
    <cellStyle name="Accent 3" xfId="10"/>
    <cellStyle name="Bad" xfId="4" builtinId="27" customBuiltin="1"/>
    <cellStyle name="Error" xfId="11"/>
    <cellStyle name="Footnote" xfId="12"/>
    <cellStyle name="Good" xfId="3" builtinId="26" customBuiltin="1"/>
    <cellStyle name="Heading (user)" xfId="13"/>
    <cellStyle name="Heading 1" xfId="1" builtinId="16" customBuiltin="1"/>
    <cellStyle name="Heading 2" xfId="2" builtinId="17" customBuiltin="1"/>
    <cellStyle name="Hyperlink" xfId="14"/>
    <cellStyle name="Neutral" xfId="5" builtinId="28" customBuiltin="1"/>
    <cellStyle name="Normal" xfId="0" builtinId="0" customBuiltin="1"/>
    <cellStyle name="Note" xfId="6" builtinId="1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7"/>
  <sheetViews>
    <sheetView tabSelected="1" workbookViewId="0">
      <selection activeCell="B8" sqref="B8"/>
    </sheetView>
  </sheetViews>
  <sheetFormatPr defaultRowHeight="13.8"/>
  <cols>
    <col min="1" max="1" width="14.5" customWidth="1"/>
    <col min="2" max="2" width="6.19921875" customWidth="1"/>
    <col min="3" max="3" width="11.796875" customWidth="1"/>
    <col min="4" max="4" width="4" customWidth="1"/>
    <col min="5" max="5" width="4.5" customWidth="1"/>
    <col min="6" max="6" width="28.09765625" customWidth="1"/>
    <col min="7" max="7" width="7.59765625" customWidth="1"/>
    <col min="8" max="13" width="10.69921875" customWidth="1"/>
  </cols>
  <sheetData>
    <row r="1" spans="1:13" ht="17.399999999999999">
      <c r="A1" s="4" t="s">
        <v>0</v>
      </c>
      <c r="F1" s="6" t="s">
        <v>32</v>
      </c>
    </row>
    <row r="3" spans="1:13">
      <c r="A3" s="1" t="s">
        <v>1</v>
      </c>
      <c r="F3" s="2" t="s">
        <v>2</v>
      </c>
      <c r="K3" s="9" t="s">
        <v>3</v>
      </c>
      <c r="L3" s="8"/>
      <c r="M3" s="8"/>
    </row>
    <row r="4" spans="1:13">
      <c r="A4" t="s">
        <v>4</v>
      </c>
      <c r="B4">
        <v>64</v>
      </c>
      <c r="C4" t="s">
        <v>5</v>
      </c>
      <c r="F4" t="s">
        <v>6</v>
      </c>
      <c r="G4">
        <f>B4*B4*B6</f>
        <v>4096</v>
      </c>
      <c r="H4" t="s">
        <v>7</v>
      </c>
      <c r="K4" s="10" t="s">
        <v>8</v>
      </c>
      <c r="L4" s="10">
        <v>16</v>
      </c>
      <c r="M4" s="10" t="s">
        <v>9</v>
      </c>
    </row>
    <row r="5" spans="1:13">
      <c r="A5" t="s">
        <v>10</v>
      </c>
      <c r="B5">
        <v>64</v>
      </c>
      <c r="C5" t="s">
        <v>5</v>
      </c>
      <c r="F5" t="s">
        <v>11</v>
      </c>
      <c r="G5">
        <f>G4*3</f>
        <v>12288</v>
      </c>
      <c r="H5" t="s">
        <v>12</v>
      </c>
      <c r="K5" s="10" t="s">
        <v>13</v>
      </c>
      <c r="L5" s="10">
        <f>B4*B6</f>
        <v>64</v>
      </c>
      <c r="M5" s="10"/>
    </row>
    <row r="6" spans="1:13">
      <c r="A6" t="s">
        <v>14</v>
      </c>
      <c r="B6">
        <v>1</v>
      </c>
      <c r="C6" t="s">
        <v>15</v>
      </c>
      <c r="F6" t="s">
        <v>16</v>
      </c>
      <c r="G6">
        <f>L4/8*L5*B7*L6*(B9+1)</f>
        <v>32768</v>
      </c>
      <c r="H6" t="s">
        <v>12</v>
      </c>
      <c r="K6" s="10" t="s">
        <v>17</v>
      </c>
      <c r="L6" s="10">
        <f>B5/2</f>
        <v>32</v>
      </c>
      <c r="M6" s="10"/>
    </row>
    <row r="7" spans="1:13">
      <c r="A7" t="s">
        <v>18</v>
      </c>
      <c r="B7" s="5">
        <v>8</v>
      </c>
      <c r="C7" t="s">
        <v>19</v>
      </c>
      <c r="F7" t="s">
        <v>20</v>
      </c>
      <c r="G7">
        <v>3</v>
      </c>
      <c r="H7" t="s">
        <v>9</v>
      </c>
      <c r="K7" s="7" t="s">
        <v>21</v>
      </c>
      <c r="L7" s="8">
        <f>1000000000000/B10/1000000</f>
        <v>100000</v>
      </c>
      <c r="M7" s="8"/>
    </row>
    <row r="8" spans="1:13">
      <c r="A8" t="s">
        <v>22</v>
      </c>
      <c r="B8">
        <v>100</v>
      </c>
      <c r="C8" t="s">
        <v>23</v>
      </c>
      <c r="F8" t="s">
        <v>24</v>
      </c>
      <c r="G8">
        <v>143.61213235294119</v>
      </c>
      <c r="H8" t="s">
        <v>23</v>
      </c>
      <c r="K8" s="7" t="s">
        <v>25</v>
      </c>
      <c r="L8" s="8">
        <f>L5*L7/1000</f>
        <v>6400</v>
      </c>
      <c r="M8" s="8"/>
    </row>
    <row r="9" spans="1:13">
      <c r="A9" t="s">
        <v>26</v>
      </c>
      <c r="B9">
        <v>0</v>
      </c>
      <c r="C9" t="s">
        <v>27</v>
      </c>
      <c r="F9" t="s">
        <v>28</v>
      </c>
      <c r="G9" s="3">
        <f>B7-G7+1</f>
        <v>6</v>
      </c>
      <c r="K9" s="7" t="s">
        <v>29</v>
      </c>
      <c r="L9" s="8">
        <f>L8*B7</f>
        <v>51200</v>
      </c>
      <c r="M9" s="8"/>
    </row>
    <row r="10" spans="1:13">
      <c r="A10" t="s">
        <v>30</v>
      </c>
      <c r="B10">
        <v>10</v>
      </c>
      <c r="C10" t="s">
        <v>31</v>
      </c>
      <c r="F10" t="s">
        <v>35</v>
      </c>
      <c r="G10">
        <f>6*B10</f>
        <v>60</v>
      </c>
      <c r="H10" t="s">
        <v>34</v>
      </c>
    </row>
    <row r="27" spans="1:1">
      <c r="A27" t="s">
        <v>33</v>
      </c>
    </row>
  </sheetData>
  <pageMargins left="0" right="0" top="0.39370000000000011" bottom="0.39370000000000011" header="0" footer="0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1</cp:revision>
  <dcterms:created xsi:type="dcterms:W3CDTF">2021-02-20T13:44:07Z</dcterms:created>
  <dcterms:modified xsi:type="dcterms:W3CDTF">2021-02-20T13:44:59Z</dcterms:modified>
</cp:coreProperties>
</file>